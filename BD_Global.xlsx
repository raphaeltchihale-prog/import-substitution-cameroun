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UltraBook 3.1\Desktop\STREAMLIT - IMPORTSUBSTITUTION\"/>
    </mc:Choice>
  </mc:AlternateContent>
  <xr:revisionPtr revIDLastSave="0" documentId="13_ncr:1_{CF51B57E-79EF-4836-BF03-4899BF6A295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euil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53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G71" i="1"/>
  <c r="G70" i="1"/>
  <c r="G69" i="1"/>
  <c r="G68" i="1"/>
  <c r="G67" i="1"/>
  <c r="G66" i="1"/>
  <c r="G65" i="1"/>
  <c r="G64" i="1"/>
  <c r="G63" i="1"/>
  <c r="G62" i="1"/>
  <c r="G61" i="1"/>
  <c r="E51" i="1"/>
  <c r="E50" i="1"/>
  <c r="E49" i="1"/>
  <c r="E48" i="1"/>
  <c r="E47" i="1"/>
  <c r="E46" i="1"/>
  <c r="E45" i="1"/>
  <c r="E44" i="1"/>
  <c r="E43" i="1"/>
  <c r="E42" i="1"/>
  <c r="G21" i="1"/>
  <c r="G20" i="1"/>
  <c r="G19" i="1"/>
  <c r="G18" i="1"/>
  <c r="G17" i="1"/>
  <c r="G16" i="1"/>
  <c r="G15" i="1"/>
  <c r="G14" i="1"/>
  <c r="G13" i="1"/>
</calcChain>
</file>

<file path=xl/sharedStrings.xml><?xml version="1.0" encoding="utf-8"?>
<sst xmlns="http://schemas.openxmlformats.org/spreadsheetml/2006/main" count="78" uniqueCount="15">
  <si>
    <t>produits</t>
  </si>
  <si>
    <t>Année</t>
  </si>
  <si>
    <t>Blé</t>
  </si>
  <si>
    <t>Huile de palme</t>
  </si>
  <si>
    <t>Lait</t>
  </si>
  <si>
    <t>Mais</t>
  </si>
  <si>
    <t>Poisson</t>
  </si>
  <si>
    <t xml:space="preserve">Riz </t>
  </si>
  <si>
    <t>Soja</t>
  </si>
  <si>
    <t>Taux d'import-substitution</t>
  </si>
  <si>
    <t>Importation (en tonne)</t>
  </si>
  <si>
    <t>Production nationale (en tonne)</t>
  </si>
  <si>
    <t>Demande nationale (en tonne)</t>
  </si>
  <si>
    <t>cible_piisah_production</t>
  </si>
  <si>
    <t>Taux de contenu 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</si>
</sst>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#,##0."/>
    <numFmt numFmtId="165" formatCode="_-* #,##0\ _€_-;\-* #,##0\ _€_-;_-* &quot;-&quot;??\ _€_-;_-@_-"/>
    <numFmt numFmtId="166" formatCode="#,##0.."/>
    <numFmt numFmtId="173" formatCode="_-* #,##0.0000000\ _€_-;\-* #,##0.0000000\ _€_-;_-* &quot;-&quot;??\ _€_-;_-@_-"/>
  </numFmts>
  <fonts count="10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Calibri"/>
      <charset val="134"/>
    </font>
    <font>
      <sz val="11"/>
      <color theme="1"/>
      <name val="Book Antiqua"/>
      <charset val="134"/>
    </font>
    <font>
      <sz val="10"/>
      <name val="Arial Narrow"/>
      <charset val="134"/>
    </font>
    <font>
      <sz val="10"/>
      <color theme="1"/>
      <name val="Book Antiqua"/>
      <charset val="134"/>
    </font>
    <font>
      <sz val="10"/>
      <color theme="1"/>
      <name val="Arial Narrow"/>
      <charset val="134"/>
    </font>
    <font>
      <sz val="10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0"/>
      <name val="Book Antiqua"/>
      <charset val="134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3">
    <xf numFmtId="0" fontId="0" fillId="0" borderId="0"/>
    <xf numFmtId="43" fontId="8" fillId="0" borderId="0" applyFont="0" applyFill="0" applyBorder="0" applyAlignment="0" applyProtection="0"/>
    <xf numFmtId="0" fontId="9" fillId="0" borderId="0">
      <protection locked="0"/>
    </xf>
  </cellStyleXfs>
  <cellXfs count="2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3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3" fontId="0" fillId="0" borderId="0" xfId="0" applyNumberFormat="1"/>
    <xf numFmtId="3" fontId="2" fillId="0" borderId="0" xfId="0" applyNumberFormat="1" applyFont="1" applyAlignment="1">
      <alignment vertical="center" wrapText="1"/>
    </xf>
    <xf numFmtId="4" fontId="0" fillId="0" borderId="0" xfId="0" applyNumberFormat="1" applyAlignment="1">
      <alignment vertical="center" wrapText="1"/>
    </xf>
    <xf numFmtId="3" fontId="3" fillId="0" borderId="0" xfId="0" applyNumberFormat="1" applyFont="1" applyAlignment="1">
      <alignment horizontal="center" vertical="center"/>
    </xf>
    <xf numFmtId="164" fontId="4" fillId="0" borderId="0" xfId="2" applyNumberFormat="1" applyFont="1" applyProtection="1"/>
    <xf numFmtId="165" fontId="5" fillId="0" borderId="0" xfId="1" applyNumberFormat="1" applyFont="1" applyBorder="1" applyAlignment="1">
      <alignment horizontal="right" vertical="center" wrapText="1"/>
    </xf>
    <xf numFmtId="164" fontId="4" fillId="2" borderId="0" xfId="2" applyNumberFormat="1" applyFont="1" applyFill="1" applyProtection="1"/>
    <xf numFmtId="165" fontId="5" fillId="0" borderId="1" xfId="1" applyNumberFormat="1" applyFont="1" applyBorder="1" applyAlignment="1">
      <alignment horizontal="right" vertical="center" wrapText="1"/>
    </xf>
    <xf numFmtId="166" fontId="4" fillId="2" borderId="0" xfId="2" applyNumberFormat="1" applyFont="1" applyFill="1" applyProtection="1"/>
    <xf numFmtId="164" fontId="6" fillId="0" borderId="0" xfId="2" applyNumberFormat="1" applyFont="1" applyProtection="1"/>
    <xf numFmtId="4" fontId="0" fillId="0" borderId="0" xfId="0" applyNumberFormat="1" applyFont="1"/>
    <xf numFmtId="3" fontId="0" fillId="0" borderId="0" xfId="0" applyNumberFormat="1" applyFont="1"/>
    <xf numFmtId="164" fontId="6" fillId="2" borderId="0" xfId="2" applyNumberFormat="1" applyFont="1" applyFill="1" applyProtection="1"/>
    <xf numFmtId="164" fontId="7" fillId="2" borderId="0" xfId="2" applyNumberFormat="1" applyFont="1" applyFill="1" applyAlignment="1" applyProtection="1">
      <alignment vertical="center"/>
    </xf>
    <xf numFmtId="173" fontId="0" fillId="0" borderId="0" xfId="0" applyNumberFormat="1"/>
  </cellXfs>
  <cellStyles count="3">
    <cellStyle name="Milliers" xfId="1" builtinId="3"/>
    <cellStyle name="Normal" xfId="0" builtinId="0"/>
    <cellStyle name="Normal_tabord I- III- IV mai2005" xfId="2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3"/>
  <sheetViews>
    <sheetView tabSelected="1" zoomScale="90" zoomScaleNormal="90" workbookViewId="0">
      <selection activeCell="E39" sqref="E39"/>
    </sheetView>
  </sheetViews>
  <sheetFormatPr baseColWidth="10" defaultColWidth="11" defaultRowHeight="14.5"/>
  <cols>
    <col min="2" max="2" width="12.81640625"/>
    <col min="3" max="3" width="12.1796875" bestFit="1" customWidth="1"/>
    <col min="5" max="7" width="11.90625"/>
    <col min="9" max="14" width="12.81640625"/>
    <col min="15" max="15" width="12.54296875" customWidth="1"/>
    <col min="16" max="16" width="13.54296875" customWidth="1"/>
    <col min="17" max="19" width="12.81640625"/>
  </cols>
  <sheetData>
    <row r="1" spans="1:28" ht="43.5">
      <c r="A1" s="1" t="s">
        <v>0</v>
      </c>
      <c r="B1" s="1" t="s">
        <v>14</v>
      </c>
      <c r="C1" s="1" t="s">
        <v>9</v>
      </c>
      <c r="D1" s="2" t="s">
        <v>1</v>
      </c>
      <c r="E1" s="2" t="s">
        <v>10</v>
      </c>
      <c r="F1" s="2" t="s">
        <v>11</v>
      </c>
      <c r="G1" s="2" t="s">
        <v>12</v>
      </c>
      <c r="H1" s="2" t="s">
        <v>13</v>
      </c>
      <c r="I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>
      <c r="A2" t="s">
        <v>2</v>
      </c>
      <c r="B2">
        <f>F2/(E2+F2)</f>
        <v>4.0382018501457652E-2</v>
      </c>
      <c r="C2">
        <f>E2/(E2+F2)</f>
        <v>0.95961798149854238</v>
      </c>
      <c r="D2" s="3">
        <v>2015</v>
      </c>
      <c r="E2" s="4">
        <v>304149</v>
      </c>
      <c r="F2" s="4">
        <v>12799</v>
      </c>
      <c r="G2" s="4">
        <v>316948</v>
      </c>
      <c r="H2" s="4">
        <v>12799</v>
      </c>
      <c r="K2" s="5"/>
      <c r="L2" s="5"/>
      <c r="M2" s="5"/>
      <c r="N2" s="4"/>
      <c r="O2" s="4"/>
      <c r="P2" s="4"/>
      <c r="Q2" s="5"/>
      <c r="R2" s="4"/>
      <c r="S2" s="4"/>
      <c r="T2" s="5"/>
      <c r="U2" s="5"/>
      <c r="V2" s="5"/>
      <c r="Y2" s="5"/>
      <c r="AA2" s="4"/>
      <c r="AB2" s="4"/>
    </row>
    <row r="3" spans="1:28">
      <c r="A3" t="s">
        <v>2</v>
      </c>
      <c r="B3">
        <f t="shared" ref="B3:B66" si="0">F3/(E3+F3)</f>
        <v>0.54694387305318837</v>
      </c>
      <c r="C3">
        <f t="shared" ref="C3:C22" si="1">E3/(E3+F3)</f>
        <v>0.45305612694681163</v>
      </c>
      <c r="D3" s="3">
        <v>2016</v>
      </c>
      <c r="E3" s="4">
        <v>616700</v>
      </c>
      <c r="F3" s="4">
        <v>744500</v>
      </c>
      <c r="G3" s="4">
        <v>1814800</v>
      </c>
      <c r="H3" s="4">
        <v>744500</v>
      </c>
      <c r="K3" s="5"/>
      <c r="L3" s="5"/>
      <c r="M3" s="4"/>
      <c r="N3" s="4"/>
      <c r="O3" s="4"/>
      <c r="P3" s="4"/>
      <c r="Q3" s="5"/>
      <c r="R3" s="4"/>
      <c r="S3" s="4"/>
      <c r="T3" s="5"/>
      <c r="U3" s="5"/>
      <c r="V3" s="5"/>
      <c r="Y3" s="5"/>
      <c r="AA3" s="4"/>
      <c r="AB3" s="4"/>
    </row>
    <row r="4" spans="1:28">
      <c r="A4" t="s">
        <v>2</v>
      </c>
      <c r="B4">
        <f t="shared" si="0"/>
        <v>0.46625958979176452</v>
      </c>
      <c r="C4">
        <f t="shared" si="1"/>
        <v>0.53374041020823548</v>
      </c>
      <c r="D4" s="3">
        <v>2017</v>
      </c>
      <c r="E4" s="4">
        <v>681800</v>
      </c>
      <c r="F4" s="4">
        <v>595600</v>
      </c>
      <c r="G4" s="4">
        <v>1277400</v>
      </c>
      <c r="H4" s="4">
        <v>595600</v>
      </c>
      <c r="K4" s="8"/>
      <c r="L4" s="8"/>
      <c r="M4" s="4"/>
      <c r="N4" s="4"/>
      <c r="O4" s="4"/>
      <c r="P4" s="4"/>
      <c r="Q4" s="5"/>
      <c r="R4" s="4"/>
      <c r="S4" s="4"/>
      <c r="T4" s="5"/>
      <c r="U4" s="5"/>
      <c r="V4" s="5"/>
      <c r="Y4" s="5"/>
      <c r="AA4" s="4"/>
      <c r="AB4" s="4"/>
    </row>
    <row r="5" spans="1:28">
      <c r="A5" t="s">
        <v>2</v>
      </c>
      <c r="B5">
        <f t="shared" si="0"/>
        <v>0.3586479745420143</v>
      </c>
      <c r="C5">
        <f t="shared" si="1"/>
        <v>0.64135202545798575</v>
      </c>
      <c r="D5" s="3">
        <v>2018</v>
      </c>
      <c r="E5" s="4">
        <v>745700</v>
      </c>
      <c r="F5" s="4">
        <v>417000</v>
      </c>
      <c r="G5" s="4">
        <v>1162700</v>
      </c>
      <c r="H5" s="4">
        <v>417000</v>
      </c>
      <c r="K5" s="8"/>
      <c r="L5" s="8"/>
      <c r="M5" s="4"/>
      <c r="N5" s="4"/>
      <c r="O5" s="4"/>
      <c r="P5" s="4"/>
      <c r="Q5" s="5"/>
      <c r="R5" s="4"/>
      <c r="S5" s="4"/>
      <c r="T5" s="5"/>
      <c r="U5" s="5"/>
      <c r="V5" s="5"/>
      <c r="Y5" s="5"/>
      <c r="AA5" s="4"/>
      <c r="AB5" s="4"/>
    </row>
    <row r="6" spans="1:28">
      <c r="A6" t="s">
        <v>2</v>
      </c>
      <c r="B6">
        <f t="shared" si="0"/>
        <v>0.24005669235539021</v>
      </c>
      <c r="C6">
        <f t="shared" si="1"/>
        <v>0.75994330764460982</v>
      </c>
      <c r="D6" s="3">
        <v>2019</v>
      </c>
      <c r="E6" s="4">
        <v>857900</v>
      </c>
      <c r="F6" s="4">
        <v>271000</v>
      </c>
      <c r="G6" s="4">
        <v>1128900</v>
      </c>
      <c r="H6" s="4">
        <v>271000</v>
      </c>
      <c r="K6" s="5"/>
      <c r="L6" s="5"/>
      <c r="M6" s="4"/>
      <c r="N6" s="4"/>
      <c r="O6" s="4"/>
      <c r="P6" s="4"/>
      <c r="Q6" s="5"/>
      <c r="R6" s="4"/>
      <c r="S6" s="4"/>
      <c r="T6" s="5"/>
      <c r="U6" s="5"/>
      <c r="V6" s="5"/>
      <c r="Y6" s="5"/>
      <c r="AA6" s="4"/>
      <c r="AB6" s="4"/>
    </row>
    <row r="7" spans="1:28">
      <c r="A7" t="s">
        <v>2</v>
      </c>
      <c r="B7">
        <f t="shared" si="0"/>
        <v>0.22444096806846417</v>
      </c>
      <c r="C7">
        <f t="shared" si="1"/>
        <v>0.77555903193153586</v>
      </c>
      <c r="D7" s="3">
        <v>2020</v>
      </c>
      <c r="E7" s="4">
        <v>842800</v>
      </c>
      <c r="F7" s="4">
        <v>243900</v>
      </c>
      <c r="G7" s="4">
        <v>1086700</v>
      </c>
      <c r="H7" s="4">
        <v>243900</v>
      </c>
      <c r="K7" s="5"/>
      <c r="L7" s="5"/>
      <c r="M7" s="4"/>
      <c r="N7" s="4"/>
      <c r="O7" s="4"/>
      <c r="P7" s="4"/>
      <c r="Q7" s="5"/>
      <c r="R7" s="4"/>
      <c r="S7" s="4"/>
      <c r="T7" s="5"/>
      <c r="U7" s="5"/>
      <c r="V7" s="5"/>
      <c r="Y7" s="5"/>
      <c r="AA7" s="4"/>
      <c r="AB7" s="4"/>
    </row>
    <row r="8" spans="1:28">
      <c r="A8" t="s">
        <v>2</v>
      </c>
      <c r="B8">
        <f t="shared" si="0"/>
        <v>0.19338953342792756</v>
      </c>
      <c r="C8">
        <f t="shared" si="1"/>
        <v>0.80661046657207247</v>
      </c>
      <c r="D8" s="3">
        <v>2021</v>
      </c>
      <c r="E8" s="4">
        <v>966400</v>
      </c>
      <c r="F8" s="4">
        <v>231700</v>
      </c>
      <c r="G8" s="4">
        <v>1198100</v>
      </c>
      <c r="H8" s="4">
        <v>231700</v>
      </c>
      <c r="K8" s="5"/>
      <c r="L8" s="5"/>
      <c r="M8" s="4"/>
      <c r="N8" s="4"/>
      <c r="O8" s="4"/>
      <c r="P8" s="4"/>
      <c r="Q8" s="5"/>
      <c r="R8" s="4"/>
      <c r="S8" s="4"/>
      <c r="T8" s="5"/>
      <c r="U8" s="5"/>
      <c r="V8" s="5"/>
      <c r="Y8" s="5"/>
      <c r="AA8" s="4"/>
      <c r="AB8" s="4"/>
    </row>
    <row r="9" spans="1:28">
      <c r="A9" t="s">
        <v>2</v>
      </c>
      <c r="B9">
        <f t="shared" si="0"/>
        <v>0.19643792561550549</v>
      </c>
      <c r="C9">
        <f t="shared" si="1"/>
        <v>0.80356207438449445</v>
      </c>
      <c r="D9" s="3">
        <v>2022</v>
      </c>
      <c r="E9" s="4">
        <v>920400</v>
      </c>
      <c r="F9" s="4">
        <v>225000</v>
      </c>
      <c r="G9" s="4">
        <v>1145400</v>
      </c>
      <c r="H9" s="4">
        <v>225000</v>
      </c>
      <c r="K9" s="5"/>
      <c r="L9" s="5"/>
      <c r="M9" s="4"/>
      <c r="N9" s="4"/>
      <c r="O9" s="4"/>
      <c r="P9" s="4"/>
      <c r="Q9" s="5"/>
      <c r="R9" s="4"/>
      <c r="S9" s="4"/>
      <c r="T9" s="5"/>
      <c r="U9" s="5"/>
      <c r="V9" s="5"/>
      <c r="Y9" s="5"/>
      <c r="AA9" s="4"/>
      <c r="AB9" s="4"/>
    </row>
    <row r="10" spans="1:28">
      <c r="A10" t="s">
        <v>2</v>
      </c>
      <c r="B10">
        <f t="shared" si="0"/>
        <v>0.21181001283697048</v>
      </c>
      <c r="C10">
        <f t="shared" si="1"/>
        <v>0.78818998716302957</v>
      </c>
      <c r="D10" s="3">
        <v>2023</v>
      </c>
      <c r="E10" s="4">
        <v>921000</v>
      </c>
      <c r="F10" s="4">
        <v>247500</v>
      </c>
      <c r="G10" s="4">
        <v>1168500</v>
      </c>
      <c r="H10" s="4">
        <v>247500</v>
      </c>
      <c r="K10" s="5"/>
      <c r="L10" s="5"/>
      <c r="M10" s="4"/>
      <c r="N10" s="4"/>
      <c r="O10" s="4"/>
      <c r="P10" s="4"/>
      <c r="Q10" s="5"/>
      <c r="R10" s="4"/>
      <c r="S10" s="4"/>
      <c r="T10" s="5"/>
      <c r="U10" s="5"/>
      <c r="V10" s="5"/>
      <c r="Y10" s="5"/>
      <c r="AA10" s="4"/>
      <c r="AB10" s="4"/>
    </row>
    <row r="11" spans="1:28">
      <c r="A11" t="s">
        <v>2</v>
      </c>
      <c r="B11">
        <f t="shared" si="0"/>
        <v>0.21187987390077984</v>
      </c>
      <c r="C11">
        <f t="shared" si="1"/>
        <v>0.78812012609922022</v>
      </c>
      <c r="D11" s="3">
        <v>2024</v>
      </c>
      <c r="E11" s="4">
        <v>950000</v>
      </c>
      <c r="F11" s="4">
        <v>255400</v>
      </c>
      <c r="G11" s="4">
        <v>1205400</v>
      </c>
      <c r="H11" s="4">
        <v>255400</v>
      </c>
      <c r="K11" s="5"/>
      <c r="L11" s="5"/>
      <c r="M11" s="4"/>
      <c r="N11" s="4"/>
      <c r="O11" s="4"/>
      <c r="P11" s="4"/>
      <c r="Q11" s="5"/>
      <c r="R11" s="4"/>
      <c r="S11" s="4"/>
      <c r="T11" s="5"/>
      <c r="U11" s="5"/>
      <c r="V11" s="5"/>
      <c r="Y11" s="5"/>
      <c r="AA11" s="4"/>
      <c r="AB11" s="4"/>
    </row>
    <row r="12" spans="1:28">
      <c r="A12" t="s">
        <v>3</v>
      </c>
      <c r="B12">
        <f t="shared" si="0"/>
        <v>0.87923842923009665</v>
      </c>
      <c r="C12">
        <f t="shared" si="1"/>
        <v>0.12076157076990332</v>
      </c>
      <c r="D12" s="3">
        <v>2015</v>
      </c>
      <c r="E12" s="4">
        <v>50000</v>
      </c>
      <c r="F12" s="4">
        <v>364039</v>
      </c>
      <c r="G12" s="4">
        <v>380000</v>
      </c>
      <c r="H12" s="4">
        <v>364039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Y12" s="5"/>
      <c r="AA12" s="4"/>
      <c r="AB12" s="4"/>
    </row>
    <row r="13" spans="1:28">
      <c r="A13" t="s">
        <v>3</v>
      </c>
      <c r="B13">
        <f t="shared" si="0"/>
        <v>0.54543683520137143</v>
      </c>
      <c r="C13">
        <f t="shared" si="1"/>
        <v>0.45456316479862852</v>
      </c>
      <c r="D13" s="3">
        <v>2016</v>
      </c>
      <c r="E13">
        <v>350000</v>
      </c>
      <c r="F13" s="4">
        <v>419970</v>
      </c>
      <c r="G13" s="6">
        <f t="shared" ref="G13:G21" si="2">E13+F13</f>
        <v>769970</v>
      </c>
      <c r="H13" s="4">
        <v>419970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Y13" s="5"/>
      <c r="AA13" s="4"/>
      <c r="AB13" s="4"/>
    </row>
    <row r="14" spans="1:28">
      <c r="A14" t="s">
        <v>3</v>
      </c>
      <c r="B14">
        <f t="shared" si="0"/>
        <v>0.48617896801118599</v>
      </c>
      <c r="C14">
        <f t="shared" si="1"/>
        <v>0.51382103198881401</v>
      </c>
      <c r="D14" s="3">
        <v>2017</v>
      </c>
      <c r="E14" s="4">
        <v>409000</v>
      </c>
      <c r="F14" s="4">
        <v>386997</v>
      </c>
      <c r="G14" s="6">
        <f t="shared" si="2"/>
        <v>795997</v>
      </c>
      <c r="H14" s="4">
        <v>386997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Y14" s="5"/>
      <c r="AA14" s="4"/>
      <c r="AB14" s="4"/>
    </row>
    <row r="15" spans="1:28">
      <c r="A15" t="s">
        <v>3</v>
      </c>
      <c r="B15">
        <f t="shared" si="0"/>
        <v>0.42818243703199454</v>
      </c>
      <c r="C15">
        <f t="shared" si="1"/>
        <v>0.57181756296800546</v>
      </c>
      <c r="D15" s="3">
        <v>2018</v>
      </c>
      <c r="E15">
        <v>420000</v>
      </c>
      <c r="F15" s="4">
        <v>314500</v>
      </c>
      <c r="G15" s="6">
        <f t="shared" si="2"/>
        <v>734500</v>
      </c>
      <c r="H15" s="4">
        <v>314500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Y15" s="5"/>
      <c r="AA15" s="4"/>
      <c r="AB15" s="4"/>
    </row>
    <row r="16" spans="1:28">
      <c r="A16" t="s">
        <v>3</v>
      </c>
      <c r="B16">
        <f t="shared" si="0"/>
        <v>0.29275850499016443</v>
      </c>
      <c r="C16">
        <f t="shared" si="1"/>
        <v>0.70724149500983557</v>
      </c>
      <c r="D16" s="3">
        <v>2019</v>
      </c>
      <c r="E16">
        <v>430000</v>
      </c>
      <c r="F16" s="7">
        <v>177996</v>
      </c>
      <c r="G16" s="6">
        <f t="shared" si="2"/>
        <v>607996</v>
      </c>
      <c r="H16" s="7">
        <v>177996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Y16" s="5"/>
      <c r="AA16" s="4"/>
      <c r="AB16" s="4"/>
    </row>
    <row r="17" spans="1:28">
      <c r="A17" t="s">
        <v>3</v>
      </c>
      <c r="B17">
        <f t="shared" si="0"/>
        <v>0.52793933415237881</v>
      </c>
      <c r="C17">
        <f t="shared" si="1"/>
        <v>0.47206066584762124</v>
      </c>
      <c r="D17" s="3">
        <v>2020</v>
      </c>
      <c r="E17">
        <v>390000</v>
      </c>
      <c r="F17" s="7">
        <v>436165</v>
      </c>
      <c r="G17" s="6">
        <f t="shared" si="2"/>
        <v>826165</v>
      </c>
      <c r="H17">
        <v>380000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Y17" s="5"/>
      <c r="AA17" s="4"/>
      <c r="AB17" s="4"/>
    </row>
    <row r="18" spans="1:28">
      <c r="A18" t="s">
        <v>3</v>
      </c>
      <c r="B18">
        <f t="shared" si="0"/>
        <v>0.49716634840975793</v>
      </c>
      <c r="C18">
        <f t="shared" si="1"/>
        <v>0.50283365159024207</v>
      </c>
      <c r="D18" s="3">
        <v>2021</v>
      </c>
      <c r="E18">
        <v>410000</v>
      </c>
      <c r="F18" s="7">
        <v>405379</v>
      </c>
      <c r="G18" s="6">
        <f t="shared" si="2"/>
        <v>815379</v>
      </c>
      <c r="H18">
        <v>386000</v>
      </c>
      <c r="K18" s="5"/>
      <c r="L18" s="5"/>
      <c r="M18" s="4"/>
      <c r="N18" s="4"/>
      <c r="O18" s="4"/>
      <c r="P18" s="4"/>
      <c r="Q18" s="5"/>
      <c r="R18" s="4"/>
      <c r="S18" s="4"/>
      <c r="T18" s="4"/>
      <c r="U18" s="5"/>
      <c r="V18" s="5"/>
      <c r="W18" s="5"/>
      <c r="X18" s="5"/>
      <c r="AA18" s="4"/>
      <c r="AB18" s="4"/>
    </row>
    <row r="19" spans="1:28">
      <c r="A19" t="s">
        <v>3</v>
      </c>
      <c r="B19">
        <f t="shared" si="0"/>
        <v>0.75762054564191572</v>
      </c>
      <c r="C19">
        <f t="shared" si="1"/>
        <v>0.24237945435808428</v>
      </c>
      <c r="D19" s="3">
        <v>2022</v>
      </c>
      <c r="E19" s="4">
        <v>143000</v>
      </c>
      <c r="F19" s="7">
        <v>446984</v>
      </c>
      <c r="G19" s="6">
        <f t="shared" si="2"/>
        <v>589984</v>
      </c>
      <c r="H19">
        <v>392000</v>
      </c>
      <c r="K19" s="5"/>
      <c r="L19" s="5"/>
      <c r="M19" s="4"/>
      <c r="N19" s="4"/>
      <c r="O19" s="4"/>
      <c r="P19" s="4"/>
      <c r="Q19" s="5"/>
      <c r="R19" s="4"/>
      <c r="S19" s="4"/>
      <c r="T19" s="4"/>
      <c r="U19" s="5"/>
      <c r="V19" s="5"/>
      <c r="W19" s="5"/>
      <c r="X19" s="5"/>
      <c r="AA19" s="4"/>
      <c r="AB19" s="4"/>
    </row>
    <row r="20" spans="1:28">
      <c r="A20" t="s">
        <v>3</v>
      </c>
      <c r="B20">
        <f t="shared" si="0"/>
        <v>0.71291133426052344</v>
      </c>
      <c r="C20">
        <f t="shared" si="1"/>
        <v>0.28708866573947661</v>
      </c>
      <c r="D20" s="3">
        <v>2023</v>
      </c>
      <c r="E20" s="4">
        <v>180000</v>
      </c>
      <c r="F20" s="7">
        <v>446984</v>
      </c>
      <c r="G20" s="6">
        <f t="shared" si="2"/>
        <v>626984</v>
      </c>
      <c r="H20">
        <v>398000</v>
      </c>
      <c r="K20" s="5"/>
      <c r="L20" s="5"/>
      <c r="M20" s="4"/>
      <c r="N20" s="4"/>
      <c r="O20" s="4"/>
      <c r="P20" s="4"/>
      <c r="Q20" s="5"/>
      <c r="R20" s="4"/>
      <c r="S20" s="4"/>
      <c r="T20" s="4"/>
      <c r="U20" s="5"/>
      <c r="V20" s="5"/>
      <c r="W20" s="5"/>
      <c r="X20" s="5"/>
      <c r="AA20" s="4"/>
      <c r="AB20" s="4"/>
    </row>
    <row r="21" spans="1:28">
      <c r="A21" t="s">
        <v>3</v>
      </c>
      <c r="B21">
        <f t="shared" si="0"/>
        <v>0.66517059929998334</v>
      </c>
      <c r="C21">
        <f t="shared" si="1"/>
        <v>0.33482940070001666</v>
      </c>
      <c r="D21" s="3">
        <v>2024</v>
      </c>
      <c r="E21" s="4">
        <v>225000</v>
      </c>
      <c r="F21" s="4">
        <v>446984</v>
      </c>
      <c r="G21" s="4">
        <f t="shared" si="2"/>
        <v>671984</v>
      </c>
      <c r="H21" s="4">
        <v>404000</v>
      </c>
      <c r="K21" s="5"/>
      <c r="L21" s="5"/>
      <c r="M21" s="4"/>
      <c r="N21" s="4"/>
      <c r="O21" s="4"/>
      <c r="P21" s="4"/>
      <c r="Q21" s="5"/>
      <c r="R21" s="4"/>
      <c r="S21" s="4"/>
      <c r="T21" s="4"/>
      <c r="U21" s="5"/>
      <c r="V21" s="5"/>
      <c r="W21" s="5"/>
      <c r="X21" s="5"/>
      <c r="AA21" s="4"/>
      <c r="AB21" s="4"/>
    </row>
    <row r="22" spans="1:28">
      <c r="A22" t="s">
        <v>4</v>
      </c>
      <c r="B22">
        <f t="shared" si="0"/>
        <v>0.40187152250885178</v>
      </c>
      <c r="C22">
        <f t="shared" si="1"/>
        <v>0.59812847749114817</v>
      </c>
      <c r="D22" s="3">
        <v>2015</v>
      </c>
      <c r="E22">
        <v>236500</v>
      </c>
      <c r="F22" s="5">
        <v>158900</v>
      </c>
      <c r="G22" s="5">
        <v>395400</v>
      </c>
      <c r="H22" s="5">
        <v>158900</v>
      </c>
      <c r="K22" s="5"/>
      <c r="L22" s="5"/>
      <c r="M22" s="4"/>
      <c r="N22" s="4"/>
      <c r="O22" s="4"/>
      <c r="P22" s="4"/>
      <c r="Q22" s="5"/>
      <c r="R22" s="4"/>
      <c r="S22" s="4"/>
      <c r="T22" s="4"/>
      <c r="U22" s="5"/>
      <c r="V22" s="5"/>
      <c r="W22" s="5"/>
      <c r="X22" s="5"/>
      <c r="AA22" s="4"/>
      <c r="AB22" s="4"/>
    </row>
    <row r="23" spans="1:28">
      <c r="A23" t="s">
        <v>4</v>
      </c>
      <c r="B23">
        <f t="shared" si="0"/>
        <v>0.40915878546540568</v>
      </c>
      <c r="C23">
        <f t="shared" ref="C23:C71" si="3">E23/(E23+F23)</f>
        <v>0.59084121453459437</v>
      </c>
      <c r="D23" s="3">
        <v>2016</v>
      </c>
      <c r="E23" s="4">
        <v>237400</v>
      </c>
      <c r="F23" s="4">
        <v>164400</v>
      </c>
      <c r="G23" s="4">
        <v>401800</v>
      </c>
      <c r="H23" s="4">
        <v>164400</v>
      </c>
      <c r="K23" s="5"/>
      <c r="L23" s="5"/>
      <c r="M23" s="4"/>
      <c r="N23" s="4"/>
      <c r="O23" s="4"/>
      <c r="P23" s="4"/>
      <c r="Q23" s="5"/>
      <c r="R23" s="4"/>
      <c r="S23" s="4"/>
      <c r="T23" s="4"/>
      <c r="U23" s="5"/>
      <c r="V23" s="5"/>
      <c r="W23" s="5"/>
      <c r="X23" s="5"/>
      <c r="AA23" s="4"/>
      <c r="AB23" s="4"/>
    </row>
    <row r="24" spans="1:28">
      <c r="A24" t="s">
        <v>4</v>
      </c>
      <c r="B24">
        <f t="shared" si="0"/>
        <v>0.4361356247097074</v>
      </c>
      <c r="C24">
        <f t="shared" si="3"/>
        <v>0.56386437529029265</v>
      </c>
      <c r="D24" s="3">
        <v>2017</v>
      </c>
      <c r="E24" s="4">
        <v>242800</v>
      </c>
      <c r="F24" s="4">
        <v>187800</v>
      </c>
      <c r="G24" s="4">
        <v>430600</v>
      </c>
      <c r="H24" s="4">
        <v>187800</v>
      </c>
      <c r="K24" s="5"/>
      <c r="L24" s="5"/>
      <c r="M24" s="4"/>
      <c r="N24" s="4"/>
      <c r="O24" s="4"/>
      <c r="P24" s="4"/>
      <c r="Q24" s="5"/>
      <c r="R24" s="4"/>
      <c r="S24" s="4"/>
      <c r="T24" s="4"/>
      <c r="U24" s="5"/>
      <c r="V24" s="5"/>
      <c r="W24" s="5"/>
      <c r="X24" s="5"/>
      <c r="AA24" s="4"/>
      <c r="AB24" s="4"/>
    </row>
    <row r="25" spans="1:28">
      <c r="A25" t="s">
        <v>4</v>
      </c>
      <c r="B25">
        <f t="shared" si="0"/>
        <v>0.45973008271658683</v>
      </c>
      <c r="C25">
        <f t="shared" si="3"/>
        <v>0.54026991728341311</v>
      </c>
      <c r="D25" s="3">
        <v>2018</v>
      </c>
      <c r="E25" s="4">
        <v>248200</v>
      </c>
      <c r="F25" s="4">
        <v>211200</v>
      </c>
      <c r="G25" s="4">
        <v>459400</v>
      </c>
      <c r="H25" s="4">
        <v>211200</v>
      </c>
      <c r="K25" s="5"/>
      <c r="L25" s="5"/>
      <c r="M25" s="4"/>
      <c r="N25" s="4"/>
      <c r="O25" s="4"/>
      <c r="P25" s="4"/>
      <c r="Q25" s="5"/>
      <c r="R25" s="4"/>
      <c r="S25" s="4"/>
      <c r="T25" s="4"/>
      <c r="U25" s="5"/>
      <c r="V25" s="5"/>
      <c r="W25" s="5"/>
      <c r="X25" s="5"/>
      <c r="AA25" s="4"/>
      <c r="AB25" s="4"/>
    </row>
    <row r="26" spans="1:28">
      <c r="A26" t="s">
        <v>4</v>
      </c>
      <c r="B26">
        <f t="shared" si="0"/>
        <v>0.45979847830557269</v>
      </c>
      <c r="C26">
        <f t="shared" si="3"/>
        <v>0.54020152169442726</v>
      </c>
      <c r="D26" s="3">
        <v>2019</v>
      </c>
      <c r="E26" s="4">
        <v>262700</v>
      </c>
      <c r="F26" s="4">
        <v>223600</v>
      </c>
      <c r="G26" s="4">
        <v>486700</v>
      </c>
      <c r="H26" s="4">
        <v>223600</v>
      </c>
      <c r="K26" s="5"/>
      <c r="L26" s="5"/>
      <c r="M26" s="4"/>
      <c r="N26" s="4"/>
      <c r="O26" s="4"/>
      <c r="P26" s="4"/>
      <c r="Q26" s="5"/>
      <c r="R26" s="4"/>
      <c r="S26" s="4"/>
      <c r="T26" s="4"/>
      <c r="U26" s="5"/>
      <c r="V26" s="5"/>
      <c r="W26" s="5"/>
      <c r="X26" s="5"/>
      <c r="AA26" s="4"/>
      <c r="AB26" s="4"/>
    </row>
    <row r="27" spans="1:28">
      <c r="A27" t="s">
        <v>4</v>
      </c>
      <c r="B27">
        <f t="shared" si="0"/>
        <v>0.46341463414634149</v>
      </c>
      <c r="C27">
        <f t="shared" si="3"/>
        <v>0.53658536585365857</v>
      </c>
      <c r="D27" s="3">
        <v>2020</v>
      </c>
      <c r="E27" s="4">
        <v>264000</v>
      </c>
      <c r="F27" s="4">
        <v>228000</v>
      </c>
      <c r="G27" s="4">
        <v>492000</v>
      </c>
      <c r="H27" s="4">
        <v>313668</v>
      </c>
      <c r="K27" s="5"/>
      <c r="L27" s="5"/>
      <c r="M27" s="4"/>
      <c r="N27" s="4"/>
      <c r="O27" s="4"/>
      <c r="P27" s="4"/>
      <c r="Q27" s="5"/>
      <c r="R27" s="4"/>
      <c r="S27" s="4"/>
      <c r="T27" s="4"/>
      <c r="U27" s="5"/>
      <c r="V27" s="5"/>
      <c r="W27" s="5"/>
      <c r="X27" s="5"/>
      <c r="AA27" s="4"/>
      <c r="AB27" s="4"/>
    </row>
    <row r="28" spans="1:28">
      <c r="A28" t="s">
        <v>4</v>
      </c>
      <c r="B28">
        <f t="shared" si="0"/>
        <v>0.49770290964777947</v>
      </c>
      <c r="C28">
        <f t="shared" si="3"/>
        <v>0.50229709035222048</v>
      </c>
      <c r="D28" s="3">
        <v>2021</v>
      </c>
      <c r="E28" s="4">
        <v>262400</v>
      </c>
      <c r="F28" s="4">
        <v>260000</v>
      </c>
      <c r="G28" s="4">
        <v>522600</v>
      </c>
      <c r="H28" s="4">
        <v>345269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AA28" s="4"/>
      <c r="AB28" s="4"/>
    </row>
    <row r="29" spans="1:28">
      <c r="A29" t="s">
        <v>4</v>
      </c>
      <c r="B29">
        <f t="shared" si="0"/>
        <v>0.52821997105643992</v>
      </c>
      <c r="C29">
        <f t="shared" si="3"/>
        <v>0.47178002894356008</v>
      </c>
      <c r="D29" s="3">
        <v>2022</v>
      </c>
      <c r="E29" s="4">
        <v>260800</v>
      </c>
      <c r="F29" s="4">
        <v>292000</v>
      </c>
      <c r="G29" s="4">
        <v>553200</v>
      </c>
      <c r="H29" s="4">
        <v>376870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AA29" s="4"/>
      <c r="AB29" s="4"/>
    </row>
    <row r="30" spans="1:28">
      <c r="A30" t="s">
        <v>4</v>
      </c>
      <c r="B30">
        <f t="shared" si="0"/>
        <v>0.55555555555555558</v>
      </c>
      <c r="C30">
        <f t="shared" si="3"/>
        <v>0.44444444444444442</v>
      </c>
      <c r="D30" s="3">
        <v>2023</v>
      </c>
      <c r="E30" s="4">
        <v>259200</v>
      </c>
      <c r="F30" s="4">
        <v>324000</v>
      </c>
      <c r="G30" s="4">
        <v>583800</v>
      </c>
      <c r="H30" s="4">
        <v>408471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AA30" s="4"/>
      <c r="AB30" s="4"/>
    </row>
    <row r="31" spans="1:28">
      <c r="A31" t="s">
        <v>4</v>
      </c>
      <c r="B31">
        <f t="shared" si="0"/>
        <v>0.56903765690376573</v>
      </c>
      <c r="C31">
        <f t="shared" si="3"/>
        <v>0.43096234309623432</v>
      </c>
      <c r="D31" s="3">
        <v>2024</v>
      </c>
      <c r="E31" s="5">
        <v>257500</v>
      </c>
      <c r="F31" s="5">
        <v>340000</v>
      </c>
      <c r="G31" s="5">
        <v>597500</v>
      </c>
      <c r="H31" s="4">
        <v>440072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AA31" s="4"/>
      <c r="AB31" s="4"/>
    </row>
    <row r="32" spans="1:28">
      <c r="A32" t="s">
        <v>5</v>
      </c>
      <c r="B32">
        <f t="shared" si="0"/>
        <v>0.95099491100998945</v>
      </c>
      <c r="C32">
        <f t="shared" si="3"/>
        <v>4.9005088990010499E-2</v>
      </c>
      <c r="D32" s="3">
        <v>2015</v>
      </c>
      <c r="E32" s="4">
        <v>9100</v>
      </c>
      <c r="F32" s="4">
        <v>176595</v>
      </c>
      <c r="G32" s="4">
        <v>185695</v>
      </c>
      <c r="H32" s="4">
        <v>176595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AA32" s="4"/>
      <c r="AB32" s="4"/>
    </row>
    <row r="33" spans="1:28">
      <c r="A33" t="s">
        <v>5</v>
      </c>
      <c r="B33">
        <f t="shared" si="0"/>
        <v>0.83799847111057113</v>
      </c>
      <c r="C33">
        <f t="shared" si="3"/>
        <v>0.1620015288894289</v>
      </c>
      <c r="D33" s="3">
        <v>2016</v>
      </c>
      <c r="E33" s="4">
        <v>32000</v>
      </c>
      <c r="F33" s="4">
        <v>165529</v>
      </c>
      <c r="G33" s="4">
        <v>197529</v>
      </c>
      <c r="H33" s="4">
        <v>165529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AA33" s="4"/>
      <c r="AB33" s="4"/>
    </row>
    <row r="34" spans="1:28">
      <c r="A34" t="s">
        <v>5</v>
      </c>
      <c r="B34">
        <f t="shared" si="0"/>
        <v>0.97918552036199091</v>
      </c>
      <c r="C34">
        <f t="shared" si="3"/>
        <v>2.0814479638009049E-2</v>
      </c>
      <c r="D34" s="3">
        <v>2017</v>
      </c>
      <c r="E34" s="4">
        <v>46000</v>
      </c>
      <c r="F34" s="4">
        <v>2164000</v>
      </c>
      <c r="G34" s="4">
        <v>2588300</v>
      </c>
      <c r="H34" s="4">
        <v>2164000</v>
      </c>
      <c r="P34" s="4"/>
      <c r="U34" s="5"/>
      <c r="V34" s="5"/>
      <c r="W34" s="5"/>
      <c r="X34" s="5"/>
      <c r="Z34" s="5"/>
      <c r="AB34" s="4"/>
    </row>
    <row r="35" spans="1:28">
      <c r="A35" t="s">
        <v>5</v>
      </c>
      <c r="B35">
        <f t="shared" si="0"/>
        <v>0.99393778485773709</v>
      </c>
      <c r="C35">
        <f t="shared" si="3"/>
        <v>6.0622151422629316E-3</v>
      </c>
      <c r="D35" s="3">
        <v>2018</v>
      </c>
      <c r="E35" s="4">
        <v>13700</v>
      </c>
      <c r="F35" s="4">
        <v>2246200</v>
      </c>
      <c r="G35" s="4">
        <v>2696400</v>
      </c>
      <c r="H35" s="4">
        <v>2246200</v>
      </c>
      <c r="P35" s="4"/>
      <c r="U35" s="5"/>
      <c r="V35" s="5"/>
      <c r="W35" s="5"/>
      <c r="X35" s="5"/>
      <c r="Z35" s="5"/>
      <c r="AB35" s="4"/>
    </row>
    <row r="36" spans="1:28">
      <c r="A36" t="s">
        <v>5</v>
      </c>
      <c r="B36">
        <f t="shared" si="0"/>
        <v>0.99384329931685922</v>
      </c>
      <c r="C36">
        <f t="shared" si="3"/>
        <v>6.1567006831407603E-3</v>
      </c>
      <c r="D36" s="3">
        <v>2019</v>
      </c>
      <c r="E36" s="4">
        <v>14600</v>
      </c>
      <c r="F36" s="4">
        <v>2356800</v>
      </c>
      <c r="G36" s="4">
        <v>2858200</v>
      </c>
      <c r="H36" s="4">
        <v>2356800</v>
      </c>
      <c r="P36" s="4"/>
      <c r="U36" s="5"/>
      <c r="V36" s="5"/>
      <c r="W36" s="5"/>
      <c r="X36" s="5"/>
      <c r="Z36" s="5"/>
      <c r="AB36" s="4"/>
    </row>
    <row r="37" spans="1:28">
      <c r="A37" t="s">
        <v>5</v>
      </c>
      <c r="B37">
        <f t="shared" si="0"/>
        <v>0.99213293730432683</v>
      </c>
      <c r="C37">
        <f t="shared" si="3"/>
        <v>7.8670626956731157E-3</v>
      </c>
      <c r="D37" s="3">
        <v>2020</v>
      </c>
      <c r="E37" s="4">
        <v>19600</v>
      </c>
      <c r="F37" s="4">
        <v>2471800</v>
      </c>
      <c r="G37" s="4">
        <v>2982600</v>
      </c>
      <c r="H37" s="4">
        <v>2471800</v>
      </c>
      <c r="P37" s="4"/>
      <c r="U37" s="5"/>
      <c r="V37" s="5"/>
      <c r="W37" s="5"/>
      <c r="X37" s="5"/>
      <c r="Z37" s="5"/>
      <c r="AB37" s="4"/>
    </row>
    <row r="38" spans="1:28">
      <c r="A38" t="s">
        <v>5</v>
      </c>
      <c r="B38">
        <f t="shared" si="0"/>
        <v>0.98702354672973502</v>
      </c>
      <c r="C38">
        <f t="shared" si="3"/>
        <v>1.2976453270264931E-2</v>
      </c>
      <c r="D38" s="3">
        <v>2021</v>
      </c>
      <c r="E38" s="4">
        <v>34089</v>
      </c>
      <c r="F38" s="4">
        <v>2592900</v>
      </c>
      <c r="G38" s="4">
        <v>3139600</v>
      </c>
      <c r="H38" s="4">
        <v>2593500</v>
      </c>
      <c r="P38" s="4"/>
      <c r="U38" s="5"/>
      <c r="V38" s="5"/>
      <c r="W38" s="5"/>
      <c r="X38" s="5"/>
      <c r="Z38" s="4"/>
      <c r="AB38" s="4"/>
    </row>
    <row r="39" spans="1:28">
      <c r="A39" t="s">
        <v>5</v>
      </c>
      <c r="B39">
        <f t="shared" si="0"/>
        <v>0.99555060364794867</v>
      </c>
      <c r="C39">
        <f t="shared" si="3"/>
        <v>4.4493963520513486E-3</v>
      </c>
      <c r="D39" s="3">
        <v>2022</v>
      </c>
      <c r="E39" s="4">
        <v>12156</v>
      </c>
      <c r="F39" s="4">
        <v>2719900</v>
      </c>
      <c r="G39" s="4">
        <v>3294500</v>
      </c>
      <c r="H39" s="4">
        <v>2715200</v>
      </c>
      <c r="P39" s="4"/>
      <c r="U39" s="5"/>
      <c r="V39" s="5"/>
      <c r="W39" s="5"/>
      <c r="X39" s="5"/>
      <c r="Z39" s="5"/>
      <c r="AB39" s="4"/>
    </row>
    <row r="40" spans="1:28">
      <c r="A40" t="s">
        <v>5</v>
      </c>
      <c r="B40">
        <f t="shared" si="0"/>
        <v>0.98617754583088357</v>
      </c>
      <c r="C40">
        <f t="shared" si="3"/>
        <v>1.3822454169116384E-2</v>
      </c>
      <c r="D40" s="3">
        <v>2023</v>
      </c>
      <c r="E40" s="4">
        <v>39991</v>
      </c>
      <c r="F40" s="4">
        <v>2853200</v>
      </c>
      <c r="G40" s="4">
        <v>3542300</v>
      </c>
      <c r="H40" s="4">
        <v>2836900</v>
      </c>
      <c r="P40" s="4"/>
      <c r="U40" s="5"/>
      <c r="V40" s="5"/>
      <c r="W40" s="5"/>
      <c r="X40" s="5"/>
      <c r="Z40" s="5"/>
      <c r="AB40" s="4"/>
    </row>
    <row r="41" spans="1:28">
      <c r="A41" t="s">
        <v>5</v>
      </c>
      <c r="B41">
        <f t="shared" si="0"/>
        <v>0.97811783102370975</v>
      </c>
      <c r="C41">
        <f t="shared" si="3"/>
        <v>2.1882168976290296E-2</v>
      </c>
      <c r="D41" s="3">
        <v>2024</v>
      </c>
      <c r="E41" s="4">
        <v>81612</v>
      </c>
      <c r="F41" s="4">
        <v>3648000</v>
      </c>
      <c r="G41" s="4">
        <v>4337100</v>
      </c>
      <c r="H41" s="4">
        <v>2935860</v>
      </c>
      <c r="P41" s="4"/>
      <c r="U41" s="5"/>
      <c r="V41" s="5"/>
      <c r="W41" s="5"/>
      <c r="X41" s="5"/>
      <c r="Z41" s="5"/>
      <c r="AB41" s="4"/>
    </row>
    <row r="42" spans="1:28">
      <c r="A42" t="s">
        <v>6</v>
      </c>
      <c r="B42">
        <f t="shared" si="0"/>
        <v>0.74720833333333336</v>
      </c>
      <c r="C42">
        <f t="shared" si="3"/>
        <v>0.25279166666666669</v>
      </c>
      <c r="D42" s="5">
        <v>2015</v>
      </c>
      <c r="E42" s="6">
        <f>G42-F42</f>
        <v>97072</v>
      </c>
      <c r="F42" s="6">
        <v>286928</v>
      </c>
      <c r="G42" s="6">
        <v>384000</v>
      </c>
      <c r="H42" s="6">
        <v>286928</v>
      </c>
      <c r="P42" s="4"/>
      <c r="U42" s="5"/>
      <c r="V42" s="5"/>
      <c r="W42" s="5"/>
      <c r="X42" s="5"/>
      <c r="Z42" s="5"/>
      <c r="AB42" s="4"/>
    </row>
    <row r="43" spans="1:28">
      <c r="A43" t="s">
        <v>6</v>
      </c>
      <c r="B43">
        <f t="shared" si="0"/>
        <v>0.74592661658703119</v>
      </c>
      <c r="C43">
        <f t="shared" si="3"/>
        <v>0.25407338341296881</v>
      </c>
      <c r="D43" s="5">
        <v>2016</v>
      </c>
      <c r="E43" s="6">
        <f>G43-F43</f>
        <v>98213.844871966983</v>
      </c>
      <c r="F43" s="9">
        <v>288343.15512803302</v>
      </c>
      <c r="G43" s="6">
        <v>386557</v>
      </c>
      <c r="H43" s="9">
        <v>288343.15512803302</v>
      </c>
      <c r="U43" s="5"/>
      <c r="V43" s="5"/>
      <c r="W43" s="5"/>
      <c r="X43" s="5"/>
      <c r="Z43" s="5"/>
      <c r="AB43" s="4"/>
    </row>
    <row r="44" spans="1:28">
      <c r="A44" t="s">
        <v>6</v>
      </c>
      <c r="B44">
        <f t="shared" si="0"/>
        <v>0.54784815552773292</v>
      </c>
      <c r="C44">
        <f t="shared" si="3"/>
        <v>0.45215184447226708</v>
      </c>
      <c r="D44" s="5">
        <v>2017</v>
      </c>
      <c r="E44" s="6">
        <f t="shared" ref="E44:E51" si="4">G44-F44</f>
        <v>182309.43229859599</v>
      </c>
      <c r="F44" s="9">
        <v>220894.56770140401</v>
      </c>
      <c r="G44" s="6">
        <v>403204</v>
      </c>
      <c r="H44" s="9">
        <v>220894.56770140401</v>
      </c>
      <c r="U44" s="5"/>
      <c r="V44" s="5"/>
      <c r="W44" s="5"/>
      <c r="X44" s="5"/>
      <c r="Z44" s="5"/>
      <c r="AB44" s="4"/>
    </row>
    <row r="45" spans="1:28">
      <c r="A45" t="s">
        <v>6</v>
      </c>
      <c r="B45">
        <f t="shared" si="0"/>
        <v>0.77083195090586343</v>
      </c>
      <c r="C45">
        <f t="shared" si="3"/>
        <v>0.22916804909413663</v>
      </c>
      <c r="D45" s="5">
        <v>2018</v>
      </c>
      <c r="E45" s="6">
        <f t="shared" si="4"/>
        <v>94628.299999999988</v>
      </c>
      <c r="F45" s="9">
        <v>318292.7</v>
      </c>
      <c r="G45" s="6">
        <v>412921</v>
      </c>
      <c r="H45" s="9">
        <v>318292.7</v>
      </c>
      <c r="U45" s="5"/>
      <c r="V45" s="5"/>
      <c r="W45" s="5"/>
      <c r="X45" s="5"/>
      <c r="Z45" s="5"/>
      <c r="AB45" s="4"/>
    </row>
    <row r="46" spans="1:28">
      <c r="A46" t="s">
        <v>6</v>
      </c>
      <c r="B46">
        <f t="shared" si="0"/>
        <v>0.7692648621602205</v>
      </c>
      <c r="C46">
        <f t="shared" si="3"/>
        <v>0.23073513783977945</v>
      </c>
      <c r="D46" s="5">
        <v>2019</v>
      </c>
      <c r="E46" s="6">
        <f t="shared" si="4"/>
        <v>100528.29999999999</v>
      </c>
      <c r="F46" s="9">
        <v>335158.7</v>
      </c>
      <c r="G46" s="6">
        <v>435687</v>
      </c>
      <c r="H46" s="9">
        <v>335158.7</v>
      </c>
      <c r="U46" s="5"/>
      <c r="V46" s="5"/>
      <c r="W46" s="5"/>
      <c r="X46" s="5"/>
      <c r="Z46" s="5"/>
      <c r="AB46" s="4"/>
    </row>
    <row r="47" spans="1:28">
      <c r="A47" t="s">
        <v>6</v>
      </c>
      <c r="B47">
        <f t="shared" si="0"/>
        <v>0.52795800863763398</v>
      </c>
      <c r="C47">
        <f t="shared" si="3"/>
        <v>0.47204199136236602</v>
      </c>
      <c r="D47" s="5">
        <v>2020</v>
      </c>
      <c r="E47" s="6">
        <f t="shared" si="4"/>
        <v>210619</v>
      </c>
      <c r="F47" s="9">
        <v>235568</v>
      </c>
      <c r="G47" s="6">
        <v>446187</v>
      </c>
      <c r="H47" s="9">
        <v>235568</v>
      </c>
      <c r="U47" s="5"/>
      <c r="V47" s="5"/>
      <c r="W47" s="5"/>
      <c r="X47" s="5"/>
      <c r="Z47" s="5"/>
      <c r="AB47" s="4"/>
    </row>
    <row r="48" spans="1:28">
      <c r="A48" t="s">
        <v>6</v>
      </c>
      <c r="B48">
        <f t="shared" si="0"/>
        <v>0.48326253039046885</v>
      </c>
      <c r="C48">
        <f t="shared" si="3"/>
        <v>0.51673746960953115</v>
      </c>
      <c r="D48" s="5">
        <v>2021</v>
      </c>
      <c r="E48" s="6">
        <f t="shared" si="4"/>
        <v>238896</v>
      </c>
      <c r="F48" s="9">
        <v>223420</v>
      </c>
      <c r="G48" s="6">
        <v>462316</v>
      </c>
      <c r="H48" s="9">
        <v>223420</v>
      </c>
      <c r="U48" s="5"/>
      <c r="V48" s="5"/>
      <c r="W48" s="5"/>
      <c r="X48" s="5"/>
      <c r="Z48" s="5"/>
      <c r="AB48" s="4"/>
    </row>
    <row r="49" spans="1:28">
      <c r="A49" t="s">
        <v>6</v>
      </c>
      <c r="B49">
        <f t="shared" si="0"/>
        <v>0.48436164392929187</v>
      </c>
      <c r="C49">
        <f t="shared" si="3"/>
        <v>0.51563835607070807</v>
      </c>
      <c r="D49" s="5">
        <v>2022</v>
      </c>
      <c r="E49" s="6">
        <f t="shared" si="4"/>
        <v>241294</v>
      </c>
      <c r="F49" s="9">
        <v>226658</v>
      </c>
      <c r="G49" s="6">
        <v>467952</v>
      </c>
      <c r="H49" s="9">
        <v>226658</v>
      </c>
      <c r="U49" s="5"/>
      <c r="V49" s="5"/>
      <c r="W49" s="5"/>
      <c r="X49" s="5"/>
      <c r="Z49" s="5"/>
      <c r="AB49" s="4"/>
    </row>
    <row r="50" spans="1:28">
      <c r="A50" t="s">
        <v>6</v>
      </c>
      <c r="B50">
        <f t="shared" si="0"/>
        <v>0.45082653423199714</v>
      </c>
      <c r="C50">
        <f t="shared" si="3"/>
        <v>0.54917346576800286</v>
      </c>
      <c r="D50" s="5">
        <v>2023</v>
      </c>
      <c r="E50" s="6">
        <f t="shared" si="4"/>
        <v>270921</v>
      </c>
      <c r="F50" s="9">
        <v>222404</v>
      </c>
      <c r="G50" s="6">
        <v>493325</v>
      </c>
      <c r="H50" s="9">
        <v>240000</v>
      </c>
      <c r="K50" s="4"/>
      <c r="L50" s="5"/>
      <c r="M50" s="4"/>
      <c r="N50" s="4"/>
      <c r="O50" s="4"/>
      <c r="P50" s="4"/>
      <c r="Q50" s="5"/>
      <c r="R50" s="4"/>
      <c r="S50" s="4"/>
      <c r="T50" s="4"/>
      <c r="U50" s="5"/>
      <c r="V50" s="5"/>
      <c r="W50" s="5"/>
      <c r="X50" s="5"/>
      <c r="AB50" s="4"/>
    </row>
    <row r="51" spans="1:28">
      <c r="A51" t="s">
        <v>6</v>
      </c>
      <c r="B51">
        <f t="shared" si="0"/>
        <v>0.46464646464646464</v>
      </c>
      <c r="C51">
        <f t="shared" si="3"/>
        <v>0.53535353535353536</v>
      </c>
      <c r="D51" s="5">
        <v>2024</v>
      </c>
      <c r="E51" s="4">
        <f t="shared" si="4"/>
        <v>265000</v>
      </c>
      <c r="F51" s="6">
        <v>230000</v>
      </c>
      <c r="G51" s="6">
        <v>495000</v>
      </c>
      <c r="H51" s="9">
        <v>270000</v>
      </c>
      <c r="K51" s="4"/>
      <c r="L51" s="5"/>
      <c r="M51" s="4"/>
      <c r="N51" s="4"/>
      <c r="O51" s="4"/>
      <c r="P51" s="4"/>
      <c r="Q51" s="5"/>
      <c r="R51" s="4"/>
      <c r="S51" s="4"/>
      <c r="T51" s="4"/>
      <c r="U51" s="5"/>
      <c r="V51" s="5"/>
      <c r="W51" s="5"/>
      <c r="X51" s="5"/>
      <c r="AB51" s="4"/>
    </row>
    <row r="52" spans="1:28">
      <c r="A52" t="s">
        <v>7</v>
      </c>
      <c r="B52">
        <f t="shared" si="0"/>
        <v>0.28138951732784839</v>
      </c>
      <c r="C52">
        <f t="shared" si="3"/>
        <v>0.71861048267215155</v>
      </c>
      <c r="D52" s="5">
        <v>2015</v>
      </c>
      <c r="E52" s="10">
        <v>707247.33799999999</v>
      </c>
      <c r="F52" s="6">
        <v>276940</v>
      </c>
      <c r="G52" s="6">
        <v>707524</v>
      </c>
      <c r="H52" s="6">
        <v>276940</v>
      </c>
      <c r="K52" s="4"/>
      <c r="L52" s="5"/>
      <c r="M52" s="4"/>
      <c r="N52" s="4"/>
      <c r="O52" s="4"/>
      <c r="P52" s="4"/>
      <c r="Q52" s="5"/>
      <c r="R52" s="4"/>
      <c r="S52" s="4"/>
      <c r="T52" s="4"/>
      <c r="U52" s="5"/>
      <c r="V52" s="5"/>
      <c r="W52" s="5"/>
      <c r="X52" s="5"/>
      <c r="AB52" s="4"/>
    </row>
    <row r="53" spans="1:28">
      <c r="A53" t="s">
        <v>7</v>
      </c>
      <c r="B53">
        <f t="shared" si="0"/>
        <v>0.36901776206282089</v>
      </c>
      <c r="C53" s="20">
        <f>E53/(E53+F53)</f>
        <v>0.63098223793717911</v>
      </c>
      <c r="D53" s="5">
        <v>2016</v>
      </c>
      <c r="E53" s="10">
        <v>614400.06700000004</v>
      </c>
      <c r="F53" s="11">
        <v>359320</v>
      </c>
      <c r="G53" s="6">
        <v>614400</v>
      </c>
      <c r="H53" s="11">
        <v>359320</v>
      </c>
      <c r="K53" s="4"/>
      <c r="L53" s="5"/>
      <c r="M53" s="4"/>
      <c r="N53" s="4"/>
      <c r="O53" s="4"/>
      <c r="P53" s="4"/>
      <c r="Q53" s="5"/>
      <c r="R53" s="4"/>
      <c r="S53" s="4"/>
      <c r="T53" s="4"/>
      <c r="U53" s="5"/>
      <c r="V53" s="5"/>
      <c r="W53" s="5"/>
      <c r="X53" s="5"/>
      <c r="AB53" s="4"/>
    </row>
    <row r="54" spans="1:28">
      <c r="A54" t="s">
        <v>7</v>
      </c>
      <c r="B54">
        <f t="shared" si="0"/>
        <v>0.28419946897889475</v>
      </c>
      <c r="C54">
        <f t="shared" si="3"/>
        <v>0.71580053102110519</v>
      </c>
      <c r="D54" s="5">
        <v>2017</v>
      </c>
      <c r="E54" s="10">
        <v>728443</v>
      </c>
      <c r="F54" s="11">
        <v>289219</v>
      </c>
      <c r="G54" s="6">
        <v>728443</v>
      </c>
      <c r="H54" s="11">
        <v>289219</v>
      </c>
      <c r="K54" s="4"/>
      <c r="L54" s="5"/>
      <c r="M54" s="4"/>
      <c r="N54" s="4"/>
      <c r="O54" s="4"/>
      <c r="P54" s="4"/>
      <c r="Q54" s="5"/>
      <c r="R54" s="4"/>
      <c r="S54" s="4"/>
      <c r="T54" s="4"/>
      <c r="U54" s="5"/>
      <c r="V54" s="5"/>
      <c r="W54" s="5"/>
      <c r="X54" s="5"/>
      <c r="AB54" s="4"/>
    </row>
    <row r="55" spans="1:28">
      <c r="A55" t="s">
        <v>7</v>
      </c>
      <c r="B55">
        <f t="shared" si="0"/>
        <v>0.37116488546849946</v>
      </c>
      <c r="C55">
        <f t="shared" si="3"/>
        <v>0.62883511453150054</v>
      </c>
      <c r="D55" s="5">
        <v>2018</v>
      </c>
      <c r="E55" s="10">
        <v>561112</v>
      </c>
      <c r="F55" s="11">
        <v>331191.86</v>
      </c>
      <c r="G55" s="6">
        <v>561112</v>
      </c>
      <c r="H55" s="11">
        <v>331191.86</v>
      </c>
      <c r="K55" s="4"/>
      <c r="L55" s="5"/>
      <c r="M55" s="4"/>
      <c r="N55" s="4"/>
      <c r="O55" s="4"/>
      <c r="P55" s="4"/>
      <c r="Q55" s="5"/>
      <c r="R55" s="4"/>
      <c r="S55" s="4"/>
      <c r="T55" s="4"/>
      <c r="U55" s="5"/>
      <c r="V55" s="5"/>
      <c r="W55" s="5"/>
      <c r="X55" s="5"/>
      <c r="AB55" s="4"/>
    </row>
    <row r="56" spans="1:28">
      <c r="A56" t="s">
        <v>7</v>
      </c>
      <c r="B56">
        <f t="shared" si="0"/>
        <v>0.24956002734141619</v>
      </c>
      <c r="C56">
        <f t="shared" si="3"/>
        <v>0.75043997265858375</v>
      </c>
      <c r="D56" s="5">
        <v>2019</v>
      </c>
      <c r="E56" s="10">
        <v>894485.799</v>
      </c>
      <c r="F56" s="11">
        <v>297462.7</v>
      </c>
      <c r="G56" s="6">
        <v>894486</v>
      </c>
      <c r="H56" s="11">
        <v>297462.7</v>
      </c>
      <c r="K56" s="4"/>
      <c r="L56" s="5"/>
      <c r="M56" s="4"/>
      <c r="N56" s="4"/>
      <c r="O56" s="4"/>
      <c r="P56" s="4"/>
      <c r="Q56" s="5"/>
      <c r="R56" s="4"/>
      <c r="S56" s="4"/>
      <c r="T56" s="4"/>
      <c r="U56" s="5"/>
      <c r="V56" s="5"/>
      <c r="W56" s="5"/>
      <c r="X56" s="5"/>
      <c r="AB56" s="4"/>
    </row>
    <row r="57" spans="1:28">
      <c r="A57" t="s">
        <v>7</v>
      </c>
      <c r="B57">
        <f t="shared" si="0"/>
        <v>0.32612947355591526</v>
      </c>
      <c r="C57">
        <f t="shared" si="3"/>
        <v>0.67387052644408474</v>
      </c>
      <c r="D57" s="5">
        <v>2020</v>
      </c>
      <c r="E57" s="10">
        <v>591597</v>
      </c>
      <c r="F57" s="11">
        <v>286312</v>
      </c>
      <c r="G57" s="6">
        <v>591597</v>
      </c>
      <c r="H57" s="11">
        <v>286312</v>
      </c>
      <c r="K57" s="4"/>
      <c r="L57" s="5"/>
      <c r="M57" s="4"/>
      <c r="N57" s="4"/>
      <c r="O57" s="4"/>
      <c r="P57" s="4"/>
      <c r="Q57" s="5"/>
      <c r="R57" s="4"/>
      <c r="S57" s="4"/>
      <c r="T57" s="4"/>
      <c r="U57" s="5"/>
      <c r="V57" s="5"/>
      <c r="W57" s="5"/>
      <c r="X57" s="5"/>
      <c r="AB57" s="4"/>
    </row>
    <row r="58" spans="1:28">
      <c r="A58" t="s">
        <v>7</v>
      </c>
      <c r="B58">
        <f t="shared" si="0"/>
        <v>0.31310774153121945</v>
      </c>
      <c r="C58">
        <f t="shared" si="3"/>
        <v>0.68689225846878066</v>
      </c>
      <c r="D58" s="5">
        <v>2021</v>
      </c>
      <c r="E58" s="12">
        <v>776601.23735299997</v>
      </c>
      <c r="F58" s="11">
        <v>354000</v>
      </c>
      <c r="G58" s="6">
        <v>776601</v>
      </c>
      <c r="H58" s="11">
        <v>354000</v>
      </c>
      <c r="K58" s="4"/>
      <c r="L58" s="5"/>
      <c r="M58" s="4"/>
      <c r="N58" s="4"/>
      <c r="O58" s="4"/>
      <c r="P58" s="4"/>
      <c r="Q58" s="5"/>
      <c r="R58" s="4"/>
      <c r="S58" s="4"/>
      <c r="T58" s="4"/>
      <c r="U58" s="5"/>
      <c r="V58" s="5"/>
      <c r="W58" s="5"/>
      <c r="X58" s="5"/>
      <c r="AB58" s="4"/>
    </row>
    <row r="59" spans="1:28">
      <c r="A59" t="s">
        <v>7</v>
      </c>
      <c r="B59">
        <f t="shared" si="0"/>
        <v>0.28777859847872078</v>
      </c>
      <c r="C59">
        <f t="shared" si="3"/>
        <v>0.71222140152127911</v>
      </c>
      <c r="D59" s="5">
        <v>2022</v>
      </c>
      <c r="E59" s="12">
        <v>841463.81210185995</v>
      </c>
      <c r="F59" s="13">
        <v>340000</v>
      </c>
      <c r="G59" s="6">
        <v>841464</v>
      </c>
      <c r="H59" s="13">
        <v>340000</v>
      </c>
      <c r="K59" s="4"/>
      <c r="L59" s="5"/>
      <c r="M59" s="4"/>
      <c r="N59" s="4"/>
      <c r="O59" s="4"/>
      <c r="P59" s="4"/>
      <c r="Q59" s="5"/>
      <c r="R59" s="4"/>
      <c r="S59" s="4"/>
      <c r="T59" s="4"/>
      <c r="U59" s="5"/>
      <c r="V59" s="5"/>
      <c r="W59" s="5"/>
      <c r="X59" s="5"/>
      <c r="AB59" s="4"/>
    </row>
    <row r="60" spans="1:28">
      <c r="A60" t="s">
        <v>7</v>
      </c>
      <c r="B60">
        <f t="shared" si="0"/>
        <v>0.33710580354050401</v>
      </c>
      <c r="C60">
        <f t="shared" si="3"/>
        <v>0.66289419645949599</v>
      </c>
      <c r="D60" s="5">
        <v>2023</v>
      </c>
      <c r="E60" s="12">
        <v>620407.94547709997</v>
      </c>
      <c r="F60" s="6">
        <v>315500</v>
      </c>
      <c r="G60" s="6">
        <v>620408</v>
      </c>
      <c r="H60" s="9">
        <v>315500</v>
      </c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AB60" s="4"/>
    </row>
    <row r="61" spans="1:28">
      <c r="A61" t="s">
        <v>7</v>
      </c>
      <c r="B61">
        <f t="shared" si="0"/>
        <v>0.99413138196173867</v>
      </c>
      <c r="C61">
        <f t="shared" si="3"/>
        <v>5.868618038261348E-3</v>
      </c>
      <c r="D61" s="5">
        <v>2024</v>
      </c>
      <c r="E61" s="12">
        <v>830648</v>
      </c>
      <c r="F61" s="6">
        <v>140710000</v>
      </c>
      <c r="G61" s="6">
        <f>E61+F61</f>
        <v>141540648</v>
      </c>
      <c r="H61" s="9">
        <v>382500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AB61" s="4"/>
    </row>
    <row r="62" spans="1:28">
      <c r="A62" t="s">
        <v>8</v>
      </c>
      <c r="B62">
        <f t="shared" si="0"/>
        <v>0.34375</v>
      </c>
      <c r="C62">
        <f t="shared" si="3"/>
        <v>0.65625</v>
      </c>
      <c r="D62" s="5">
        <v>2015</v>
      </c>
      <c r="E62" s="5">
        <v>42000</v>
      </c>
      <c r="F62" s="4">
        <v>22000</v>
      </c>
      <c r="G62" s="6">
        <f>E62+F62</f>
        <v>64000</v>
      </c>
      <c r="H62" s="4">
        <v>22000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AB62" s="4"/>
    </row>
    <row r="63" spans="1:28">
      <c r="A63" t="s">
        <v>8</v>
      </c>
      <c r="B63">
        <f t="shared" si="0"/>
        <v>0.375</v>
      </c>
      <c r="C63">
        <f t="shared" si="3"/>
        <v>0.625</v>
      </c>
      <c r="D63" s="5">
        <v>2016</v>
      </c>
      <c r="E63" s="4">
        <v>40000</v>
      </c>
      <c r="F63" s="4">
        <v>24000</v>
      </c>
      <c r="G63" s="6">
        <f t="shared" ref="G63:G71" si="5">E63+F63</f>
        <v>64000</v>
      </c>
      <c r="H63" s="4">
        <v>24000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AB63" s="4"/>
    </row>
    <row r="64" spans="1:28">
      <c r="A64" t="s">
        <v>8</v>
      </c>
      <c r="B64">
        <f t="shared" si="0"/>
        <v>0.30769230769230771</v>
      </c>
      <c r="C64">
        <f t="shared" si="3"/>
        <v>0.69230769230769229</v>
      </c>
      <c r="D64" s="5">
        <v>2017</v>
      </c>
      <c r="E64" s="4">
        <v>45000</v>
      </c>
      <c r="F64" s="4">
        <v>20000</v>
      </c>
      <c r="G64" s="6">
        <f t="shared" si="5"/>
        <v>65000</v>
      </c>
      <c r="H64" s="4">
        <v>20000</v>
      </c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AB64" s="4"/>
    </row>
    <row r="65" spans="1:28">
      <c r="A65" t="s">
        <v>8</v>
      </c>
      <c r="B65">
        <f t="shared" si="0"/>
        <v>0.38297872340425532</v>
      </c>
      <c r="C65">
        <f t="shared" si="3"/>
        <v>0.61702127659574468</v>
      </c>
      <c r="D65" s="5">
        <v>2018</v>
      </c>
      <c r="E65" s="4">
        <v>58000</v>
      </c>
      <c r="F65" s="4">
        <v>36000</v>
      </c>
      <c r="G65" s="6">
        <f t="shared" si="5"/>
        <v>94000</v>
      </c>
      <c r="H65" s="4">
        <v>36000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AB65" s="4"/>
    </row>
    <row r="66" spans="1:28">
      <c r="A66" t="s">
        <v>8</v>
      </c>
      <c r="B66">
        <f t="shared" si="0"/>
        <v>0.35579781962338952</v>
      </c>
      <c r="C66">
        <f t="shared" si="3"/>
        <v>0.64420218037661048</v>
      </c>
      <c r="D66" s="5">
        <v>2019</v>
      </c>
      <c r="E66" s="4">
        <v>65000</v>
      </c>
      <c r="F66" s="4">
        <v>35900</v>
      </c>
      <c r="G66" s="6">
        <f t="shared" si="5"/>
        <v>100900</v>
      </c>
      <c r="H66" s="4">
        <v>35900</v>
      </c>
      <c r="M66" s="10"/>
      <c r="N66" s="10"/>
      <c r="U66" s="5"/>
      <c r="V66" s="5"/>
      <c r="W66" s="5"/>
      <c r="X66" s="5"/>
    </row>
    <row r="67" spans="1:28">
      <c r="A67" t="s">
        <v>8</v>
      </c>
      <c r="B67">
        <f t="shared" ref="B67:B71" si="6">F67/(E67+F67)</f>
        <v>0.3712574850299401</v>
      </c>
      <c r="C67">
        <f t="shared" si="3"/>
        <v>0.62874251497005984</v>
      </c>
      <c r="D67" s="5">
        <v>2020</v>
      </c>
      <c r="E67" s="4">
        <v>42000</v>
      </c>
      <c r="F67" s="4">
        <v>24800</v>
      </c>
      <c r="G67" s="6">
        <f t="shared" si="5"/>
        <v>66800</v>
      </c>
      <c r="H67" s="4">
        <v>24800</v>
      </c>
      <c r="M67" s="10"/>
      <c r="N67" s="10"/>
      <c r="U67" s="5"/>
      <c r="V67" s="5"/>
      <c r="W67" s="5"/>
      <c r="X67" s="5"/>
    </row>
    <row r="68" spans="1:28">
      <c r="A68" t="s">
        <v>8</v>
      </c>
      <c r="B68">
        <f t="shared" si="6"/>
        <v>0.38961038961038963</v>
      </c>
      <c r="C68">
        <f t="shared" si="3"/>
        <v>0.61038961038961037</v>
      </c>
      <c r="D68" s="5">
        <v>2021</v>
      </c>
      <c r="E68" s="4">
        <v>47000</v>
      </c>
      <c r="F68" s="4">
        <v>30000</v>
      </c>
      <c r="G68" s="6">
        <f t="shared" si="5"/>
        <v>77000</v>
      </c>
      <c r="H68" s="4">
        <v>30000</v>
      </c>
      <c r="M68" s="6"/>
      <c r="N68" s="6"/>
      <c r="U68" s="5"/>
      <c r="V68" s="5"/>
      <c r="W68" s="5"/>
      <c r="X68" s="5"/>
    </row>
    <row r="69" spans="1:28">
      <c r="A69" t="s">
        <v>8</v>
      </c>
      <c r="B69">
        <f t="shared" si="6"/>
        <v>0.41001191895113231</v>
      </c>
      <c r="C69">
        <f t="shared" si="3"/>
        <v>0.58998808104886769</v>
      </c>
      <c r="D69" s="5">
        <v>2022</v>
      </c>
      <c r="E69" s="4">
        <v>49500</v>
      </c>
      <c r="F69" s="4">
        <v>34400</v>
      </c>
      <c r="G69" s="6">
        <f t="shared" si="5"/>
        <v>83900</v>
      </c>
      <c r="H69" s="6">
        <v>34375</v>
      </c>
      <c r="M69" s="6"/>
      <c r="N69" s="6"/>
      <c r="U69" s="5"/>
      <c r="V69" s="5"/>
      <c r="W69" s="5"/>
      <c r="X69" s="5"/>
    </row>
    <row r="70" spans="1:28">
      <c r="A70" t="s">
        <v>8</v>
      </c>
      <c r="B70">
        <f t="shared" si="6"/>
        <v>0.4860863242778769</v>
      </c>
      <c r="C70">
        <f t="shared" si="3"/>
        <v>0.5139136757221231</v>
      </c>
      <c r="D70" s="5">
        <v>2023</v>
      </c>
      <c r="E70" s="4">
        <v>38875</v>
      </c>
      <c r="F70" s="4">
        <v>36770</v>
      </c>
      <c r="G70" s="6">
        <f t="shared" si="5"/>
        <v>75645</v>
      </c>
      <c r="H70" s="6">
        <v>38875</v>
      </c>
      <c r="M70" s="10"/>
      <c r="N70" s="10"/>
      <c r="U70" s="5"/>
      <c r="V70" s="5"/>
      <c r="W70" s="5"/>
      <c r="X70" s="5"/>
    </row>
    <row r="71" spans="1:28">
      <c r="A71" t="s">
        <v>8</v>
      </c>
      <c r="B71">
        <f t="shared" si="6"/>
        <v>0.5</v>
      </c>
      <c r="C71">
        <f t="shared" si="3"/>
        <v>0.5</v>
      </c>
      <c r="D71" s="5">
        <v>2024</v>
      </c>
      <c r="E71" s="4">
        <v>37000</v>
      </c>
      <c r="F71" s="4">
        <v>37000</v>
      </c>
      <c r="G71" s="6">
        <f t="shared" si="5"/>
        <v>74000</v>
      </c>
      <c r="H71" s="6">
        <v>43500</v>
      </c>
      <c r="M71" s="6"/>
      <c r="N71" s="6"/>
      <c r="U71" s="5"/>
      <c r="V71" s="5"/>
      <c r="W71" s="5"/>
      <c r="X71" s="5"/>
    </row>
    <row r="72" spans="1:28">
      <c r="M72" s="12"/>
      <c r="N72" s="14"/>
      <c r="U72" s="5"/>
      <c r="V72" s="5"/>
      <c r="W72" s="5"/>
      <c r="X72" s="5"/>
    </row>
    <row r="73" spans="1:28">
      <c r="M73" s="12"/>
      <c r="N73" s="12"/>
      <c r="U73" s="5"/>
      <c r="V73" s="5"/>
      <c r="W73" s="5"/>
      <c r="X73" s="5"/>
    </row>
    <row r="74" spans="1:28">
      <c r="M74" s="12"/>
      <c r="N74" s="12"/>
      <c r="U74" s="5"/>
      <c r="V74" s="5"/>
      <c r="W74" s="5"/>
      <c r="X74" s="5"/>
    </row>
    <row r="75" spans="1:28">
      <c r="M75" s="4"/>
      <c r="N75" s="4"/>
      <c r="U75" s="5"/>
      <c r="V75" s="5"/>
      <c r="W75" s="5"/>
      <c r="X75" s="5"/>
    </row>
    <row r="76" spans="1:28">
      <c r="D76" s="5"/>
      <c r="E76" s="4"/>
      <c r="F76" s="4"/>
      <c r="G76" s="4"/>
      <c r="H76" s="9"/>
      <c r="M76" s="5"/>
      <c r="N76" s="5"/>
      <c r="U76" s="5"/>
      <c r="V76" s="5"/>
      <c r="W76" s="5"/>
      <c r="X76" s="5"/>
    </row>
    <row r="77" spans="1:28">
      <c r="D77" s="5"/>
      <c r="E77" s="4"/>
      <c r="F77" s="4"/>
      <c r="G77" s="4"/>
      <c r="H77" s="9"/>
      <c r="M77" s="5"/>
      <c r="N77" s="5"/>
      <c r="U77" s="5"/>
      <c r="V77" s="5"/>
      <c r="W77" s="5"/>
      <c r="X77" s="5"/>
    </row>
    <row r="78" spans="1:28">
      <c r="D78" s="5"/>
      <c r="E78" s="4"/>
      <c r="F78" s="4"/>
      <c r="G78" s="4"/>
      <c r="H78" s="9"/>
      <c r="M78" s="5"/>
      <c r="N78" s="5"/>
      <c r="U78" s="5"/>
      <c r="V78" s="5"/>
      <c r="W78" s="5"/>
      <c r="X78" s="5"/>
    </row>
    <row r="79" spans="1:28">
      <c r="D79" s="5"/>
      <c r="E79" s="4"/>
      <c r="F79" s="4"/>
      <c r="G79" s="4"/>
      <c r="H79" s="9"/>
      <c r="M79" s="5"/>
      <c r="N79" s="5"/>
      <c r="U79" s="5"/>
      <c r="V79" s="5"/>
      <c r="W79" s="5"/>
      <c r="X79" s="5"/>
    </row>
    <row r="80" spans="1:28">
      <c r="D80" s="5"/>
      <c r="E80" s="4"/>
      <c r="F80" s="4"/>
      <c r="G80" s="4"/>
      <c r="H80" s="9"/>
      <c r="M80" s="5"/>
      <c r="N80" s="5"/>
      <c r="U80" s="5"/>
      <c r="V80" s="5"/>
      <c r="W80" s="5"/>
      <c r="X80" s="5"/>
    </row>
    <row r="81" spans="4:28">
      <c r="D81" s="5"/>
      <c r="E81" s="4"/>
      <c r="F81" s="4"/>
      <c r="G81" s="4"/>
      <c r="H81" s="9"/>
      <c r="M81" s="5"/>
      <c r="N81" s="5"/>
      <c r="U81" s="5"/>
      <c r="V81" s="5"/>
      <c r="W81" s="5"/>
      <c r="X81" s="5"/>
    </row>
    <row r="82" spans="4:28">
      <c r="K82" s="15"/>
      <c r="L82" s="5"/>
      <c r="M82" s="10"/>
      <c r="N82" s="10"/>
      <c r="O82" s="15"/>
      <c r="U82" s="5"/>
      <c r="V82" s="5"/>
      <c r="W82" s="5"/>
      <c r="X82" s="5"/>
    </row>
    <row r="83" spans="4:28">
      <c r="K83" s="15"/>
      <c r="L83" s="5"/>
      <c r="M83" s="10"/>
      <c r="N83" s="10"/>
      <c r="O83" s="15"/>
      <c r="U83" s="5"/>
      <c r="V83" s="5"/>
      <c r="W83" s="5"/>
      <c r="X83" s="5"/>
    </row>
    <row r="84" spans="4:28">
      <c r="K84" s="15"/>
      <c r="L84" s="5"/>
      <c r="M84" s="6"/>
      <c r="N84" s="6"/>
      <c r="O84" s="16"/>
      <c r="U84" s="5"/>
      <c r="V84" s="5"/>
      <c r="W84" s="5"/>
      <c r="X84" s="5"/>
    </row>
    <row r="85" spans="4:28">
      <c r="K85" s="15"/>
      <c r="L85" s="5"/>
      <c r="M85" s="6"/>
      <c r="N85" s="6"/>
      <c r="O85" s="17"/>
      <c r="U85" s="5"/>
      <c r="V85" s="5"/>
      <c r="W85" s="5"/>
      <c r="X85" s="5"/>
    </row>
    <row r="86" spans="4:28">
      <c r="K86" s="15"/>
      <c r="L86" s="5"/>
      <c r="M86" s="10"/>
      <c r="N86" s="10"/>
      <c r="O86" s="17"/>
      <c r="U86" s="5"/>
      <c r="V86" s="5"/>
      <c r="W86" s="5"/>
      <c r="X86" s="5"/>
    </row>
    <row r="87" spans="4:28">
      <c r="K87" s="15"/>
      <c r="L87" s="5"/>
      <c r="M87" s="6"/>
      <c r="N87" s="6"/>
      <c r="O87" s="17"/>
      <c r="U87" s="5"/>
      <c r="V87" s="5"/>
      <c r="W87" s="5"/>
      <c r="X87" s="5"/>
    </row>
    <row r="88" spans="4:28">
      <c r="K88" s="15"/>
      <c r="L88" s="5"/>
      <c r="M88" s="12"/>
      <c r="N88" s="14"/>
      <c r="O88" s="18"/>
      <c r="U88" s="5"/>
      <c r="V88" s="5"/>
      <c r="W88" s="5"/>
      <c r="X88" s="5"/>
    </row>
    <row r="89" spans="4:28">
      <c r="K89" s="15"/>
      <c r="L89" s="5"/>
      <c r="M89" s="12"/>
      <c r="N89" s="12"/>
      <c r="O89" s="18"/>
      <c r="U89" s="5"/>
      <c r="V89" s="5"/>
      <c r="W89" s="5"/>
      <c r="X89" s="5"/>
    </row>
    <row r="90" spans="4:28">
      <c r="K90" s="19"/>
      <c r="L90" s="5"/>
      <c r="M90" s="12"/>
      <c r="N90" s="12"/>
      <c r="O90" s="18"/>
      <c r="U90" s="5"/>
      <c r="V90" s="5"/>
      <c r="W90" s="5"/>
      <c r="X90" s="5"/>
    </row>
    <row r="91" spans="4:28">
      <c r="K91" s="19"/>
      <c r="L91" s="5"/>
      <c r="M91" s="4"/>
      <c r="N91" s="4"/>
      <c r="O91" s="18"/>
      <c r="T91" s="5"/>
      <c r="U91" s="5"/>
      <c r="V91" s="5"/>
      <c r="W91" s="5"/>
      <c r="X91" s="5"/>
    </row>
    <row r="92" spans="4:28">
      <c r="D92" s="5"/>
      <c r="E92" s="4"/>
      <c r="F92" s="4"/>
      <c r="G92" s="4"/>
      <c r="H92" s="9"/>
      <c r="K92" s="5"/>
      <c r="L92" s="5"/>
      <c r="M92" s="5"/>
      <c r="N92" s="5"/>
      <c r="O92" s="5"/>
      <c r="T92" s="5"/>
      <c r="U92" s="5"/>
      <c r="V92" s="5"/>
      <c r="W92" s="5"/>
      <c r="X92" s="5"/>
      <c r="AB92" s="5"/>
    </row>
    <row r="93" spans="4:28">
      <c r="D93" s="5"/>
      <c r="E93" s="4"/>
      <c r="F93" s="4"/>
      <c r="G93" s="4"/>
      <c r="H93" s="9"/>
      <c r="K93" s="5"/>
      <c r="L93" s="5"/>
      <c r="M93" s="5"/>
      <c r="N93" s="5"/>
      <c r="O93" s="5"/>
      <c r="T93" s="5"/>
      <c r="U93" s="5"/>
      <c r="V93" s="5"/>
      <c r="W93" s="5"/>
      <c r="X93" s="5"/>
      <c r="AB93" s="5"/>
    </row>
    <row r="94" spans="4:28">
      <c r="D94" s="5"/>
      <c r="E94" s="4"/>
      <c r="F94" s="4"/>
      <c r="G94" s="4"/>
      <c r="H94" s="9"/>
      <c r="K94" s="5"/>
      <c r="L94" s="5"/>
      <c r="M94" s="5"/>
      <c r="N94" s="5"/>
      <c r="O94" s="5"/>
      <c r="T94" s="5"/>
      <c r="U94" s="5"/>
      <c r="V94" s="5"/>
      <c r="W94" s="5"/>
      <c r="X94" s="5"/>
      <c r="AB94" s="5"/>
    </row>
    <row r="95" spans="4:28">
      <c r="D95" s="5"/>
      <c r="E95" s="4"/>
      <c r="F95" s="4"/>
      <c r="G95" s="4"/>
      <c r="H95" s="9"/>
      <c r="K95" s="5"/>
      <c r="L95" s="5"/>
      <c r="M95" s="5"/>
      <c r="N95" s="5"/>
      <c r="O95" s="5"/>
      <c r="T95" s="5"/>
      <c r="U95" s="5"/>
      <c r="V95" s="5"/>
      <c r="W95" s="5"/>
      <c r="X95" s="5"/>
      <c r="AB95" s="5"/>
    </row>
    <row r="96" spans="4:28">
      <c r="D96" s="5"/>
      <c r="E96" s="4"/>
      <c r="F96" s="4"/>
      <c r="G96" s="4"/>
      <c r="H96" s="9"/>
      <c r="K96" s="5"/>
      <c r="L96" s="5"/>
      <c r="M96" s="5"/>
      <c r="N96" s="5"/>
      <c r="O96" s="5"/>
      <c r="T96" s="5"/>
      <c r="U96" s="5"/>
      <c r="V96" s="5"/>
      <c r="W96" s="5"/>
      <c r="X96" s="5"/>
      <c r="AB96" s="5"/>
    </row>
    <row r="97" spans="4:28">
      <c r="D97" s="5"/>
      <c r="E97" s="4"/>
      <c r="F97" s="4"/>
      <c r="G97" s="4"/>
      <c r="H97" s="9"/>
      <c r="K97" s="5"/>
      <c r="L97" s="5"/>
      <c r="M97" s="5"/>
      <c r="N97" s="5"/>
      <c r="O97" s="5"/>
      <c r="T97" s="5"/>
      <c r="U97" s="5"/>
      <c r="V97" s="5"/>
      <c r="W97" s="5"/>
      <c r="X97" s="5"/>
      <c r="AB97" s="5"/>
    </row>
    <row r="98" spans="4:28">
      <c r="K98" s="15"/>
      <c r="L98" s="5"/>
      <c r="M98" s="10"/>
      <c r="N98" s="10"/>
      <c r="O98" s="15"/>
      <c r="U98" s="5"/>
      <c r="V98" s="5"/>
      <c r="W98" s="5"/>
      <c r="X98" s="5"/>
    </row>
    <row r="99" spans="4:28">
      <c r="K99" s="15"/>
      <c r="L99" s="5"/>
      <c r="M99" s="10"/>
      <c r="N99" s="10"/>
      <c r="O99" s="15"/>
      <c r="U99" s="5"/>
      <c r="V99" s="5"/>
      <c r="W99" s="5"/>
      <c r="X99" s="5"/>
    </row>
    <row r="100" spans="4:28">
      <c r="K100" s="15"/>
      <c r="L100" s="5"/>
      <c r="M100" s="6"/>
      <c r="N100" s="6"/>
      <c r="O100" s="16"/>
      <c r="U100" s="5"/>
      <c r="V100" s="5"/>
      <c r="W100" s="5"/>
      <c r="X100" s="5"/>
    </row>
    <row r="101" spans="4:28">
      <c r="K101" s="15"/>
      <c r="L101" s="5"/>
      <c r="M101" s="6"/>
      <c r="N101" s="6"/>
      <c r="O101" s="17"/>
      <c r="U101" s="5"/>
      <c r="V101" s="5"/>
      <c r="W101" s="5"/>
      <c r="X101" s="5"/>
    </row>
    <row r="102" spans="4:28">
      <c r="K102" s="15"/>
      <c r="L102" s="5"/>
      <c r="M102" s="10"/>
      <c r="N102" s="10"/>
      <c r="O102" s="17"/>
      <c r="U102" s="5"/>
      <c r="V102" s="5"/>
      <c r="W102" s="5"/>
      <c r="X102" s="5"/>
    </row>
    <row r="103" spans="4:28">
      <c r="K103" s="15"/>
      <c r="L103" s="5"/>
      <c r="M103" s="6"/>
      <c r="N103" s="6"/>
      <c r="O103" s="17"/>
      <c r="U103" s="5"/>
      <c r="V103" s="5"/>
      <c r="W103" s="5"/>
      <c r="X103" s="5"/>
    </row>
    <row r="104" spans="4:28">
      <c r="K104" s="15"/>
      <c r="L104" s="5"/>
      <c r="M104" s="12"/>
      <c r="N104" s="14"/>
      <c r="O104" s="18"/>
      <c r="U104" s="5"/>
      <c r="V104" s="5"/>
      <c r="W104" s="5"/>
      <c r="X104" s="5"/>
    </row>
    <row r="105" spans="4:28">
      <c r="K105" s="15"/>
      <c r="L105" s="5"/>
      <c r="M105" s="12"/>
      <c r="N105" s="12"/>
      <c r="O105" s="18"/>
      <c r="U105" s="5"/>
      <c r="V105" s="5"/>
      <c r="W105" s="5"/>
      <c r="X105" s="5"/>
    </row>
    <row r="106" spans="4:28">
      <c r="K106" s="19"/>
      <c r="L106" s="5"/>
      <c r="M106" s="12"/>
      <c r="N106" s="12"/>
      <c r="O106" s="18"/>
      <c r="U106" s="5"/>
      <c r="V106" s="5"/>
      <c r="W106" s="5"/>
      <c r="X106" s="5"/>
    </row>
    <row r="107" spans="4:28">
      <c r="K107" s="19"/>
      <c r="L107" s="5"/>
      <c r="M107" s="4"/>
      <c r="N107" s="4"/>
      <c r="O107" s="18"/>
      <c r="U107" s="5"/>
      <c r="V107" s="5"/>
      <c r="W107" s="5"/>
      <c r="X107" s="5"/>
    </row>
    <row r="108" spans="4:28">
      <c r="D108" s="5"/>
      <c r="E108" s="4"/>
      <c r="F108" s="4"/>
      <c r="G108" s="4"/>
      <c r="H108" s="6"/>
      <c r="K108" s="5"/>
      <c r="L108" s="5"/>
      <c r="M108" s="5"/>
      <c r="N108" s="5"/>
      <c r="O108" s="5"/>
    </row>
    <row r="109" spans="4:28">
      <c r="D109" s="5"/>
      <c r="E109" s="4"/>
      <c r="F109" s="4"/>
      <c r="G109" s="4"/>
      <c r="H109" s="6"/>
      <c r="K109" s="5"/>
      <c r="L109" s="5"/>
      <c r="M109" s="5"/>
      <c r="N109" s="5"/>
      <c r="O109" s="5"/>
    </row>
    <row r="110" spans="4:28">
      <c r="D110" s="5"/>
      <c r="E110" s="4"/>
      <c r="F110" s="4"/>
      <c r="G110" s="4"/>
      <c r="H110" s="6"/>
      <c r="K110" s="5"/>
      <c r="L110" s="5"/>
      <c r="M110" s="5"/>
      <c r="N110" s="5"/>
      <c r="O110" s="5"/>
    </row>
    <row r="111" spans="4:28">
      <c r="D111" s="5"/>
      <c r="E111" s="4"/>
      <c r="F111" s="4"/>
      <c r="G111" s="4"/>
      <c r="H111" s="6"/>
      <c r="K111" s="5"/>
      <c r="L111" s="5"/>
      <c r="M111" s="5"/>
      <c r="N111" s="5"/>
      <c r="O111" s="5"/>
    </row>
    <row r="112" spans="4:28">
      <c r="D112" s="5"/>
      <c r="E112" s="4"/>
      <c r="F112" s="4"/>
      <c r="G112" s="4"/>
      <c r="H112" s="6"/>
      <c r="K112" s="5"/>
      <c r="L112" s="5"/>
      <c r="M112" s="5"/>
      <c r="N112" s="5"/>
      <c r="O112" s="5"/>
    </row>
    <row r="113" spans="4:15">
      <c r="D113" s="5"/>
      <c r="E113" s="4"/>
      <c r="F113" s="4"/>
      <c r="G113" s="4"/>
      <c r="H113" s="6"/>
      <c r="K113" s="5"/>
      <c r="L113" s="5"/>
      <c r="M113" s="5"/>
      <c r="N113" s="5"/>
      <c r="O113" s="5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RAPHAEL TCHIHALE</dc:creator>
  <cp:lastModifiedBy>UltraBook 3.1</cp:lastModifiedBy>
  <dcterms:created xsi:type="dcterms:W3CDTF">2025-08-25T18:38:00Z</dcterms:created>
  <dcterms:modified xsi:type="dcterms:W3CDTF">2025-12-22T12:47:53Z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717AC971AFE142359F021C08804EABB4_12</vt:lpwstr>
  </property>
  <property fmtid="{D5CDD505-2E9C-101B-9397-08002B2CF9AE}" pid="3" name="KSOProductBuildVer">
    <vt:lpwstr>1036-12.2.0.21931</vt:lpwstr>
  </property>
</Properties>
</file>